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rcelo/Meu Drive (marceloasouza52@gmail.com)/senac/oitavo-semestre/engenharia-de-software2/projeto/docs/"/>
    </mc:Choice>
  </mc:AlternateContent>
  <xr:revisionPtr revIDLastSave="0" documentId="13_ncr:1_{263CD648-7D39-E44A-9739-840EF0EE9FED}" xr6:coauthVersionLast="47" xr6:coauthVersionMax="47" xr10:uidLastSave="{00000000-0000-0000-0000-000000000000}"/>
  <bookViews>
    <workbookView xWindow="0" yWindow="680" windowWidth="30240" windowHeight="18960" activeTab="3" xr2:uid="{E166ED89-6562-4373-A416-CC4B8503D8FA}"/>
  </bookViews>
  <sheets>
    <sheet name="Integrantes" sheetId="4" r:id="rId1"/>
    <sheet name="Cronograma" sheetId="3" r:id="rId2"/>
    <sheet name="Burndown" sheetId="1" r:id="rId3"/>
    <sheet name="Fluxo de trabalho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1" l="1"/>
  <c r="B21" i="1" s="1"/>
  <c r="C21" i="1" s="1"/>
  <c r="D21" i="1" s="1"/>
  <c r="E21" i="1" s="1"/>
  <c r="F21" i="1" s="1"/>
  <c r="G21" i="1" s="1"/>
  <c r="H21" i="1" s="1"/>
  <c r="I21" i="1" s="1"/>
  <c r="J21" i="1" s="1"/>
  <c r="K21" i="1" s="1"/>
  <c r="L21" i="1" s="1"/>
  <c r="M21" i="1" s="1"/>
  <c r="C20" i="1" l="1"/>
  <c r="D20" i="1" s="1"/>
  <c r="E20" i="1" s="1"/>
  <c r="F20" i="1" s="1"/>
  <c r="G20" i="1" s="1"/>
  <c r="H20" i="1" s="1"/>
  <c r="I20" i="1" s="1"/>
  <c r="J20" i="1" s="1"/>
  <c r="K20" i="1" s="1"/>
  <c r="L20" i="1" s="1"/>
  <c r="M20" i="1" s="1"/>
</calcChain>
</file>

<file path=xl/sharedStrings.xml><?xml version="1.0" encoding="utf-8"?>
<sst xmlns="http://schemas.openxmlformats.org/spreadsheetml/2006/main" count="122" uniqueCount="52">
  <si>
    <t>Anderson Akira Mekaru</t>
  </si>
  <si>
    <t>Daniel Tsuyoshi Izumi</t>
  </si>
  <si>
    <t>Marcelo Alfonso de Souza</t>
  </si>
  <si>
    <t>Victor Oliveira da Nóbrega Santana</t>
  </si>
  <si>
    <t>Total de horas</t>
  </si>
  <si>
    <t>Restante</t>
  </si>
  <si>
    <t>Estimado</t>
  </si>
  <si>
    <t>OBSERVAÇÕES</t>
  </si>
  <si>
    <t>Todos</t>
  </si>
  <si>
    <t>Sim</t>
  </si>
  <si>
    <t>Resta um</t>
  </si>
  <si>
    <t>Sprint 0</t>
  </si>
  <si>
    <t>Construir tabuleiro com peças</t>
  </si>
  <si>
    <t>Implementar movimentação de peça</t>
  </si>
  <si>
    <t>Definir linguagem de programação</t>
  </si>
  <si>
    <t>Escolher tecnologias (versionamento, hospedagem)</t>
  </si>
  <si>
    <t>Sprint 1</t>
  </si>
  <si>
    <t>Sprint 2</t>
  </si>
  <si>
    <t>Sprint 3</t>
  </si>
  <si>
    <t>Construir botão para reiniciar o jogo</t>
  </si>
  <si>
    <t>Implementar remoção de peça</t>
  </si>
  <si>
    <t>Implementar seleção de peça</t>
  </si>
  <si>
    <t>Fazer validação dos movimentos</t>
  </si>
  <si>
    <t xml:space="preserve">Executar testes </t>
  </si>
  <si>
    <t>Aplicar correções</t>
  </si>
  <si>
    <t>Fazer deploy da aplicação</t>
  </si>
  <si>
    <t>Monitorar desempenho da aplicação</t>
  </si>
  <si>
    <t>Garantir documentação suficiente</t>
  </si>
  <si>
    <t>Desenvolver exibição de feedback para o usuário</t>
  </si>
  <si>
    <t>Preparar apresentação final</t>
  </si>
  <si>
    <t>Revisar e ajustar pontos do projeto</t>
  </si>
  <si>
    <t>Sprint 4</t>
  </si>
  <si>
    <t>Sprint 5</t>
  </si>
  <si>
    <t>Sprint 6</t>
  </si>
  <si>
    <t>Sprint 7</t>
  </si>
  <si>
    <t>Sprint 8</t>
  </si>
  <si>
    <t>Sprint 9</t>
  </si>
  <si>
    <t>Sprint 10</t>
  </si>
  <si>
    <t>ATIVIDADE</t>
  </si>
  <si>
    <t>RESPONSÁVEL</t>
  </si>
  <si>
    <t>EM ANDAMENTO?</t>
  </si>
  <si>
    <t>CONCLUÍDA?</t>
  </si>
  <si>
    <t>Atividade</t>
  </si>
  <si>
    <t>Anderson Akira</t>
  </si>
  <si>
    <t>Daniel Izumi</t>
  </si>
  <si>
    <t>Marcelo Alfonso</t>
  </si>
  <si>
    <t>Victor Oliveira</t>
  </si>
  <si>
    <t>Título do trabalho</t>
  </si>
  <si>
    <t>Nome dos integrantes</t>
  </si>
  <si>
    <t>Datas previstas</t>
  </si>
  <si>
    <t>Testes que envolvem elementos do navegador como armazenamento local ou animação não são suportados nativamente pelo Jest. Importante avaliar outras alternativas de teste.</t>
  </si>
  <si>
    <t>Além das correções das falhas identificadas nos testes, executou-se algumas melhorias na interface do jogo.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</si>
</sst>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CBAE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4" borderId="0" xfId="0" applyFont="1" applyFill="1"/>
    <xf numFmtId="0" fontId="2" fillId="5" borderId="0" xfId="0" applyFont="1" applyFill="1"/>
    <xf numFmtId="0" fontId="6" fillId="0" borderId="0" xfId="0" applyFont="1"/>
    <xf numFmtId="0" fontId="1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11" borderId="1" xfId="0" applyFill="1" applyBorder="1"/>
    <xf numFmtId="0" fontId="5" fillId="11" borderId="1" xfId="0" applyFont="1" applyFill="1" applyBorder="1"/>
    <xf numFmtId="0" fontId="4" fillId="0" borderId="1" xfId="0" applyFont="1" applyBorder="1"/>
    <xf numFmtId="0" fontId="4" fillId="14" borderId="1" xfId="0" applyFont="1" applyFill="1" applyBorder="1"/>
    <xf numFmtId="0" fontId="5" fillId="0" borderId="1" xfId="0" applyFont="1" applyBorder="1"/>
    <xf numFmtId="0" fontId="4" fillId="12" borderId="1" xfId="0" applyFont="1" applyFill="1" applyBorder="1"/>
    <xf numFmtId="0" fontId="4" fillId="15" borderId="1" xfId="0" applyFont="1" applyFill="1" applyBorder="1"/>
    <xf numFmtId="0" fontId="0" fillId="13" borderId="1" xfId="0" applyFill="1" applyBorder="1"/>
    <xf numFmtId="0" fontId="0" fillId="16" borderId="1" xfId="0" applyFill="1" applyBorder="1"/>
    <xf numFmtId="0" fontId="0" fillId="9" borderId="1" xfId="0" applyFill="1" applyBorder="1"/>
    <xf numFmtId="0" fontId="0" fillId="9" borderId="1" xfId="0" applyFill="1" applyBorder="1" applyAlignment="1">
      <alignment horizontal="center"/>
    </xf>
    <xf numFmtId="0" fontId="0" fillId="17" borderId="1" xfId="0" applyFill="1" applyBorder="1"/>
    <xf numFmtId="0" fontId="6" fillId="0" borderId="1" xfId="0" applyFont="1" applyBorder="1"/>
    <xf numFmtId="0" fontId="0" fillId="10" borderId="1" xfId="0" applyFill="1" applyBorder="1"/>
    <xf numFmtId="0" fontId="0" fillId="18" borderId="1" xfId="0" applyFill="1" applyBorder="1"/>
    <xf numFmtId="0" fontId="0" fillId="2" borderId="1" xfId="0" applyFill="1" applyBorder="1"/>
    <xf numFmtId="0" fontId="2" fillId="6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6" fillId="0" borderId="1" xfId="0" applyFont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7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CBA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Burndown!$C$2:$M$2</c:f>
              <c:strCache>
                <c:ptCount val="11"/>
                <c:pt idx="0">
                  <c:v>Sprint 0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  <c:pt idx="6">
                  <c:v>Sprint 6</c:v>
                </c:pt>
                <c:pt idx="7">
                  <c:v>Sprint 7</c:v>
                </c:pt>
                <c:pt idx="8">
                  <c:v>Sprint 8</c:v>
                </c:pt>
                <c:pt idx="9">
                  <c:v>Sprint 9</c:v>
                </c:pt>
                <c:pt idx="10">
                  <c:v>Sprint 10</c:v>
                </c:pt>
              </c:strCache>
            </c:strRef>
          </c:cat>
          <c:val>
            <c:numRef>
              <c:f>Burndown!$C$20:$M$20</c:f>
              <c:numCache>
                <c:formatCode>0.00</c:formatCode>
                <c:ptCount val="11"/>
                <c:pt idx="0">
                  <c:v>50</c:v>
                </c:pt>
                <c:pt idx="1">
                  <c:v>47</c:v>
                </c:pt>
                <c:pt idx="2">
                  <c:v>43</c:v>
                </c:pt>
                <c:pt idx="3">
                  <c:v>38</c:v>
                </c:pt>
                <c:pt idx="4">
                  <c:v>36</c:v>
                </c:pt>
                <c:pt idx="5">
                  <c:v>34</c:v>
                </c:pt>
                <c:pt idx="6">
                  <c:v>31</c:v>
                </c:pt>
                <c:pt idx="7">
                  <c:v>21</c:v>
                </c:pt>
                <c:pt idx="8">
                  <c:v>9</c:v>
                </c:pt>
                <c:pt idx="9">
                  <c:v>3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64-49EE-AE14-CE07DA66DA0B}"/>
            </c:ext>
          </c:extLst>
        </c:ser>
        <c:ser>
          <c:idx val="1"/>
          <c:order val="1"/>
          <c:tx>
            <c:v>Estimado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Burndown!$C$2:$M$2</c:f>
              <c:strCache>
                <c:ptCount val="11"/>
                <c:pt idx="0">
                  <c:v>Sprint 0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  <c:pt idx="6">
                  <c:v>Sprint 6</c:v>
                </c:pt>
                <c:pt idx="7">
                  <c:v>Sprint 7</c:v>
                </c:pt>
                <c:pt idx="8">
                  <c:v>Sprint 8</c:v>
                </c:pt>
                <c:pt idx="9">
                  <c:v>Sprint 9</c:v>
                </c:pt>
                <c:pt idx="10">
                  <c:v>Sprint 10</c:v>
                </c:pt>
              </c:strCache>
            </c:strRef>
          </c:cat>
          <c:val>
            <c:numRef>
              <c:f>Burndown!$C$21:$M$21</c:f>
              <c:numCache>
                <c:formatCode>0.00</c:formatCode>
                <c:ptCount val="11"/>
                <c:pt idx="0">
                  <c:v>47.272727272727273</c:v>
                </c:pt>
                <c:pt idx="1">
                  <c:v>42.545454545454547</c:v>
                </c:pt>
                <c:pt idx="2">
                  <c:v>37.81818181818182</c:v>
                </c:pt>
                <c:pt idx="3">
                  <c:v>33.090909090909093</c:v>
                </c:pt>
                <c:pt idx="4">
                  <c:v>28.363636363636367</c:v>
                </c:pt>
                <c:pt idx="5">
                  <c:v>23.63636363636364</c:v>
                </c:pt>
                <c:pt idx="6">
                  <c:v>18.909090909090914</c:v>
                </c:pt>
                <c:pt idx="7">
                  <c:v>14.181818181818187</c:v>
                </c:pt>
                <c:pt idx="8">
                  <c:v>9.4545454545454604</c:v>
                </c:pt>
                <c:pt idx="9">
                  <c:v>4.7272727272727328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64-49EE-AE14-CE07DA66DA0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57420607"/>
        <c:axId val="1457421023"/>
      </c:lineChart>
      <c:catAx>
        <c:axId val="14574206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Datas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421023"/>
        <c:crosses val="autoZero"/>
        <c:auto val="1"/>
        <c:lblAlgn val="ctr"/>
        <c:lblOffset val="100"/>
        <c:noMultiLvlLbl val="0"/>
      </c:catAx>
      <c:valAx>
        <c:axId val="145742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de horas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420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15875</xdr:colOff>
      <xdr:row>21</xdr:row>
      <xdr:rowOff>11675</xdr:rowOff>
    </xdr:from>
    <xdr:to>
      <xdr:col>13</xdr:col>
      <xdr:colOff>9770</xdr:colOff>
      <xdr:row>39</xdr:row>
      <xdr:rowOff>167054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34A050E-827C-4F50-9431-189BC0D2A4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302825</xdr:colOff>
      <xdr:row>23</xdr:row>
      <xdr:rowOff>97693</xdr:rowOff>
    </xdr:from>
    <xdr:to>
      <xdr:col>12</xdr:col>
      <xdr:colOff>302825</xdr:colOff>
      <xdr:row>35</xdr:row>
      <xdr:rowOff>107462</xdr:rowOff>
    </xdr:to>
    <xdr:cxnSp macro="">
      <xdr:nvCxnSpPr>
        <xdr:cNvPr id="3" name="Conector Reto 2">
          <a:extLst>
            <a:ext uri="{FF2B5EF4-FFF2-40B4-BE49-F238E27FC236}">
              <a16:creationId xmlns:a16="http://schemas.microsoft.com/office/drawing/2014/main" id="{52AFB75D-3622-6A88-4F4E-E35D19B8B76B}"/>
            </a:ext>
          </a:extLst>
        </xdr:cNvPr>
        <xdr:cNvCxnSpPr/>
      </xdr:nvCxnSpPr>
      <xdr:spPr>
        <a:xfrm>
          <a:off x="11928210" y="4591539"/>
          <a:ext cx="0" cy="2354385"/>
        </a:xfrm>
        <a:prstGeom prst="line">
          <a:avLst/>
        </a:prstGeom>
        <a:ln w="19050" cap="flat" cmpd="sng" algn="ctr">
          <a:solidFill>
            <a:schemeClr val="dk1">
              <a:alpha val="63437"/>
            </a:schemeClr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oneCellAnchor>
    <xdr:from>
      <xdr:col>10</xdr:col>
      <xdr:colOff>683844</xdr:colOff>
      <xdr:row>31</xdr:row>
      <xdr:rowOff>68383</xdr:rowOff>
    </xdr:from>
    <xdr:ext cx="1103924" cy="436786"/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0254FBFB-F4C9-BF52-5502-E6E5CF9A5E71}"/>
            </a:ext>
          </a:extLst>
        </xdr:cNvPr>
        <xdr:cNvSpPr txBox="1"/>
      </xdr:nvSpPr>
      <xdr:spPr>
        <a:xfrm>
          <a:off x="10804767" y="6125306"/>
          <a:ext cx="1103924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pt-BR" sz="1100">
              <a:solidFill>
                <a:schemeClr val="tx1">
                  <a:lumMod val="65000"/>
                  <a:lumOff val="35000"/>
                </a:schemeClr>
              </a:solidFill>
            </a:rPr>
            <a:t>Momento</a:t>
          </a:r>
          <a:r>
            <a:rPr lang="pt-BR" sz="1100" baseline="0">
              <a:solidFill>
                <a:schemeClr val="tx1">
                  <a:lumMod val="65000"/>
                  <a:lumOff val="35000"/>
                </a:schemeClr>
              </a:solidFill>
            </a:rPr>
            <a:t> atual do projeto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C79-4EBF-4926-BE0C-AC85E413F1F8}">
  <dimension ref="A1:A8"/>
  <sheetViews>
    <sheetView zoomScale="110" zoomScaleNormal="110" workbookViewId="0">
      <selection activeCell="D27" sqref="D27"/>
    </sheetView>
  </sheetViews>
  <sheetFormatPr baseColWidth="10" defaultColWidth="8.83203125" defaultRowHeight="15" x14ac:dyDescent="0.2"/>
  <cols>
    <col min="1" max="1" width="34.5" customWidth="1"/>
  </cols>
  <sheetData>
    <row r="1" spans="1:1" x14ac:dyDescent="0.2">
      <c r="A1" s="4" t="s">
        <v>47</v>
      </c>
    </row>
    <row r="2" spans="1:1" x14ac:dyDescent="0.2">
      <c r="A2" t="s">
        <v>10</v>
      </c>
    </row>
    <row r="4" spans="1:1" x14ac:dyDescent="0.2">
      <c r="A4" s="3" t="s">
        <v>48</v>
      </c>
    </row>
    <row r="5" spans="1:1" x14ac:dyDescent="0.2">
      <c r="A5" t="s">
        <v>0</v>
      </c>
    </row>
    <row r="6" spans="1:1" x14ac:dyDescent="0.2">
      <c r="A6" t="s">
        <v>1</v>
      </c>
    </row>
    <row r="7" spans="1:1" x14ac:dyDescent="0.2">
      <c r="A7" t="s">
        <v>2</v>
      </c>
    </row>
    <row r="8" spans="1:1" x14ac:dyDescent="0.2">
      <c r="A8" t="s">
        <v>3</v>
      </c>
    </row>
  </sheetData>
  <pageMargins left="0.511811024" right="0.511811024" top="0.78740157499999996" bottom="0.78740157499999996" header="0.31496062000000002" footer="0.31496062000000002"/>
  <pageSetup paperSize="9" orientation="portrait" r:id="rId1"/>
  <headerFooter>
    <oddHeader>&amp;L&amp;"Aptos"&amp;10&amp;K000000 Uso Geral&amp;1#_x000D_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3D6E4-9FF6-4826-B26C-B7F01A35B92D}">
  <dimension ref="A1:L17"/>
  <sheetViews>
    <sheetView zoomScale="130" zoomScaleNormal="130" workbookViewId="0">
      <selection activeCell="C29" sqref="C29"/>
    </sheetView>
  </sheetViews>
  <sheetFormatPr baseColWidth="10" defaultColWidth="8.83203125" defaultRowHeight="15" x14ac:dyDescent="0.2"/>
  <cols>
    <col min="1" max="1" width="40.33203125" bestFit="1" customWidth="1"/>
    <col min="2" max="12" width="10.83203125" customWidth="1"/>
  </cols>
  <sheetData>
    <row r="1" spans="1:12" x14ac:dyDescent="0.2">
      <c r="A1" s="7" t="s">
        <v>42</v>
      </c>
      <c r="B1" s="52" t="s">
        <v>11</v>
      </c>
      <c r="C1" s="52" t="s">
        <v>16</v>
      </c>
      <c r="D1" s="52" t="s">
        <v>17</v>
      </c>
      <c r="E1" s="52" t="s">
        <v>18</v>
      </c>
      <c r="F1" s="52" t="s">
        <v>31</v>
      </c>
      <c r="G1" s="52" t="s">
        <v>32</v>
      </c>
      <c r="H1" s="52" t="s">
        <v>33</v>
      </c>
      <c r="I1" s="52" t="s">
        <v>34</v>
      </c>
      <c r="J1" s="52" t="s">
        <v>35</v>
      </c>
      <c r="K1" s="52" t="s">
        <v>36</v>
      </c>
      <c r="L1" s="52" t="s">
        <v>37</v>
      </c>
    </row>
    <row r="2" spans="1:12" x14ac:dyDescent="0.2">
      <c r="A2" s="9" t="s">
        <v>14</v>
      </c>
      <c r="B2" s="11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 x14ac:dyDescent="0.2">
      <c r="A3" s="9" t="s">
        <v>15</v>
      </c>
      <c r="B3" s="12"/>
      <c r="C3" s="13"/>
      <c r="D3" s="13"/>
      <c r="E3" s="13"/>
      <c r="F3" s="13"/>
      <c r="G3" s="13"/>
      <c r="H3" s="13"/>
      <c r="I3" s="13"/>
      <c r="J3" s="13"/>
      <c r="K3" s="13"/>
      <c r="L3" s="13"/>
    </row>
    <row r="4" spans="1:12" x14ac:dyDescent="0.2">
      <c r="A4" s="9" t="s">
        <v>12</v>
      </c>
      <c r="B4" s="13"/>
      <c r="C4" s="14"/>
      <c r="D4" s="13"/>
      <c r="E4" s="13"/>
      <c r="F4" s="13"/>
      <c r="G4" s="13"/>
      <c r="H4" s="13"/>
      <c r="I4" s="13"/>
      <c r="J4" s="13"/>
      <c r="K4" s="13"/>
      <c r="L4" s="13"/>
    </row>
    <row r="5" spans="1:12" x14ac:dyDescent="0.2">
      <c r="A5" s="9" t="s">
        <v>21</v>
      </c>
      <c r="B5" s="13"/>
      <c r="C5" s="14"/>
      <c r="D5" s="15"/>
      <c r="E5" s="13"/>
      <c r="F5" s="13"/>
      <c r="G5" s="13"/>
      <c r="H5" s="13"/>
      <c r="I5" s="13"/>
      <c r="J5" s="13"/>
      <c r="K5" s="13"/>
      <c r="L5" s="13"/>
    </row>
    <row r="6" spans="1:12" x14ac:dyDescent="0.2">
      <c r="A6" s="9" t="s">
        <v>13</v>
      </c>
      <c r="B6" s="13"/>
      <c r="C6" s="13"/>
      <c r="D6" s="16"/>
      <c r="E6" s="13"/>
      <c r="F6" s="13"/>
      <c r="G6" s="13"/>
      <c r="H6" s="13"/>
      <c r="I6" s="13"/>
      <c r="J6" s="13"/>
      <c r="K6" s="13"/>
      <c r="L6" s="13"/>
    </row>
    <row r="7" spans="1:12" x14ac:dyDescent="0.2">
      <c r="A7" s="9" t="s">
        <v>20</v>
      </c>
      <c r="B7" s="13"/>
      <c r="C7" s="13"/>
      <c r="D7" s="16"/>
      <c r="E7" s="13"/>
      <c r="F7" s="13"/>
      <c r="G7" s="13"/>
      <c r="H7" s="13"/>
      <c r="I7" s="8"/>
      <c r="J7" s="8"/>
      <c r="K7" s="13"/>
      <c r="L7" s="13"/>
    </row>
    <row r="8" spans="1:12" x14ac:dyDescent="0.2">
      <c r="A8" s="9" t="s">
        <v>22</v>
      </c>
      <c r="B8" s="13"/>
      <c r="C8" s="13"/>
      <c r="D8" s="13"/>
      <c r="E8" s="17"/>
      <c r="F8" s="13"/>
      <c r="G8" s="13"/>
      <c r="H8" s="13"/>
      <c r="I8" s="13"/>
      <c r="J8" s="13"/>
      <c r="K8" s="13"/>
      <c r="L8" s="13"/>
    </row>
    <row r="9" spans="1:12" x14ac:dyDescent="0.2">
      <c r="A9" s="9" t="s">
        <v>19</v>
      </c>
      <c r="B9" s="8"/>
      <c r="C9" s="8"/>
      <c r="D9" s="8"/>
      <c r="E9" s="8"/>
      <c r="F9" s="18"/>
      <c r="G9" s="8"/>
      <c r="H9" s="8"/>
      <c r="I9" s="8"/>
      <c r="J9" s="8"/>
      <c r="K9" s="8"/>
      <c r="L9" s="8"/>
    </row>
    <row r="10" spans="1:12" x14ac:dyDescent="0.2">
      <c r="A10" s="9" t="s">
        <v>28</v>
      </c>
      <c r="B10" s="8"/>
      <c r="C10" s="8"/>
      <c r="D10" s="8"/>
      <c r="E10" s="8"/>
      <c r="F10" s="8"/>
      <c r="G10" s="19"/>
      <c r="H10" s="8"/>
      <c r="I10" s="8"/>
      <c r="J10" s="8"/>
      <c r="K10" s="8"/>
      <c r="L10" s="8"/>
    </row>
    <row r="11" spans="1:12" x14ac:dyDescent="0.2">
      <c r="A11" s="9" t="s">
        <v>23</v>
      </c>
      <c r="B11" s="8"/>
      <c r="C11" s="8"/>
      <c r="D11" s="8"/>
      <c r="E11" s="8"/>
      <c r="F11" s="8"/>
      <c r="G11" s="8"/>
      <c r="H11" s="20"/>
      <c r="I11" s="8"/>
      <c r="J11" s="8"/>
      <c r="K11" s="8"/>
      <c r="L11" s="8"/>
    </row>
    <row r="12" spans="1:12" x14ac:dyDescent="0.2">
      <c r="A12" s="9" t="s">
        <v>24</v>
      </c>
      <c r="B12" s="10"/>
      <c r="C12" s="10"/>
      <c r="D12" s="10"/>
      <c r="E12" s="10"/>
      <c r="F12" s="10"/>
      <c r="G12" s="10"/>
      <c r="H12" s="21"/>
      <c r="I12" s="10"/>
      <c r="J12" s="10"/>
      <c r="K12" s="10"/>
      <c r="L12" s="10"/>
    </row>
    <row r="13" spans="1:12" x14ac:dyDescent="0.2">
      <c r="A13" s="9" t="s">
        <v>25</v>
      </c>
      <c r="B13" s="8"/>
      <c r="C13" s="8"/>
      <c r="D13" s="8"/>
      <c r="E13" s="8"/>
      <c r="F13" s="8"/>
      <c r="G13" s="8"/>
      <c r="H13" s="8"/>
      <c r="I13" s="22"/>
      <c r="J13" s="8"/>
      <c r="K13" s="8"/>
      <c r="L13" s="8"/>
    </row>
    <row r="14" spans="1:12" x14ac:dyDescent="0.2">
      <c r="A14" s="9" t="s">
        <v>26</v>
      </c>
      <c r="B14" s="8"/>
      <c r="C14" s="8"/>
      <c r="D14" s="8"/>
      <c r="E14" s="8"/>
      <c r="F14" s="8"/>
      <c r="G14" s="8"/>
      <c r="H14" s="8"/>
      <c r="I14" s="22"/>
      <c r="J14" s="8"/>
      <c r="K14" s="8"/>
      <c r="L14" s="8"/>
    </row>
    <row r="15" spans="1:12" x14ac:dyDescent="0.2">
      <c r="A15" s="9" t="s">
        <v>27</v>
      </c>
      <c r="B15" s="8"/>
      <c r="C15" s="8"/>
      <c r="D15" s="8"/>
      <c r="E15" s="23"/>
      <c r="F15" s="8"/>
      <c r="G15" s="8"/>
      <c r="H15" s="8"/>
      <c r="I15" s="8"/>
      <c r="J15" s="24"/>
      <c r="K15" s="8"/>
      <c r="L15" s="8"/>
    </row>
    <row r="16" spans="1:12" x14ac:dyDescent="0.2">
      <c r="A16" s="9" t="s">
        <v>30</v>
      </c>
      <c r="B16" s="8"/>
      <c r="C16" s="8"/>
      <c r="D16" s="8"/>
      <c r="E16" s="8"/>
      <c r="F16" s="8"/>
      <c r="G16" s="8"/>
      <c r="H16" s="8"/>
      <c r="I16" s="8"/>
      <c r="J16" s="8"/>
      <c r="K16" s="25"/>
      <c r="L16" s="8"/>
    </row>
    <row r="17" spans="1:12" x14ac:dyDescent="0.2">
      <c r="A17" s="9" t="s">
        <v>29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26"/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horizontalDpi="0" verticalDpi="0" r:id="rId1"/>
  <headerFooter>
    <oddHeader>&amp;L&amp;"Aptos"&amp;10&amp;K000000 Uso Geral&amp;1#_x000D_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F1091-3FE6-49BE-9E4E-23F5A0DBEFF2}">
  <dimension ref="A1:O21"/>
  <sheetViews>
    <sheetView zoomScale="130" zoomScaleNormal="130" workbookViewId="0">
      <selection activeCell="O27" sqref="O27"/>
    </sheetView>
  </sheetViews>
  <sheetFormatPr baseColWidth="10" defaultColWidth="8.83203125" defaultRowHeight="15" x14ac:dyDescent="0.2"/>
  <cols>
    <col min="1" max="1" width="40.33203125" bestFit="1" customWidth="1"/>
    <col min="2" max="2" width="17.5" style="1" customWidth="1"/>
    <col min="3" max="11" width="9.33203125" style="1" bestFit="1" customWidth="1"/>
    <col min="12" max="12" width="10.33203125" style="1" bestFit="1" customWidth="1"/>
    <col min="13" max="13" width="10.33203125" bestFit="1" customWidth="1"/>
    <col min="14" max="14" width="10.83203125" bestFit="1" customWidth="1"/>
  </cols>
  <sheetData>
    <row r="1" spans="1:15" x14ac:dyDescent="0.2">
      <c r="A1" s="55" t="s">
        <v>42</v>
      </c>
      <c r="B1" s="57" t="s">
        <v>4</v>
      </c>
      <c r="C1" s="54" t="s">
        <v>49</v>
      </c>
      <c r="D1" s="54"/>
      <c r="E1" s="54"/>
      <c r="F1" s="54"/>
      <c r="G1" s="54"/>
      <c r="H1" s="54"/>
      <c r="I1" s="54"/>
      <c r="J1" s="54"/>
      <c r="K1" s="54"/>
      <c r="L1" s="54"/>
      <c r="M1" s="54"/>
      <c r="N1" s="2"/>
    </row>
    <row r="2" spans="1:15" x14ac:dyDescent="0.2">
      <c r="A2" s="56"/>
      <c r="B2" s="58"/>
      <c r="C2" s="52" t="s">
        <v>11</v>
      </c>
      <c r="D2" s="52" t="s">
        <v>16</v>
      </c>
      <c r="E2" s="52" t="s">
        <v>17</v>
      </c>
      <c r="F2" s="52" t="s">
        <v>18</v>
      </c>
      <c r="G2" s="52" t="s">
        <v>31</v>
      </c>
      <c r="H2" s="52" t="s">
        <v>32</v>
      </c>
      <c r="I2" s="52" t="s">
        <v>33</v>
      </c>
      <c r="J2" s="52" t="s">
        <v>34</v>
      </c>
      <c r="K2" s="52" t="s">
        <v>35</v>
      </c>
      <c r="L2" s="52" t="s">
        <v>36</v>
      </c>
      <c r="M2" s="52" t="s">
        <v>37</v>
      </c>
      <c r="N2" s="6"/>
    </row>
    <row r="3" spans="1:15" x14ac:dyDescent="0.2">
      <c r="A3" s="9" t="s">
        <v>14</v>
      </c>
      <c r="B3" s="10">
        <v>1</v>
      </c>
      <c r="C3" s="36">
        <v>1</v>
      </c>
      <c r="D3" s="28"/>
      <c r="E3" s="28"/>
      <c r="F3" s="28"/>
      <c r="G3" s="28"/>
      <c r="H3" s="28"/>
      <c r="I3" s="28"/>
      <c r="J3" s="28"/>
      <c r="K3" s="28"/>
      <c r="L3" s="28"/>
      <c r="M3" s="28"/>
      <c r="N3" s="1"/>
    </row>
    <row r="4" spans="1:15" x14ac:dyDescent="0.2">
      <c r="A4" s="9" t="s">
        <v>15</v>
      </c>
      <c r="B4" s="10">
        <v>1</v>
      </c>
      <c r="C4" s="36">
        <v>1</v>
      </c>
      <c r="D4" s="37"/>
      <c r="E4" s="37"/>
      <c r="F4" s="37"/>
      <c r="G4" s="37"/>
      <c r="H4" s="37"/>
      <c r="I4" s="37"/>
      <c r="J4" s="37"/>
      <c r="K4" s="37"/>
      <c r="L4" s="37"/>
      <c r="M4" s="37"/>
    </row>
    <row r="5" spans="1:15" x14ac:dyDescent="0.2">
      <c r="A5" s="9" t="s">
        <v>12</v>
      </c>
      <c r="B5" s="10">
        <v>2</v>
      </c>
      <c r="C5" s="37"/>
      <c r="D5" s="38">
        <v>2</v>
      </c>
      <c r="E5" s="37"/>
      <c r="F5" s="37"/>
      <c r="G5" s="37"/>
      <c r="H5" s="37"/>
      <c r="I5" s="37"/>
      <c r="J5" s="37"/>
      <c r="K5" s="37"/>
      <c r="L5" s="37"/>
      <c r="M5" s="37"/>
    </row>
    <row r="6" spans="1:15" x14ac:dyDescent="0.2">
      <c r="A6" s="9" t="s">
        <v>21</v>
      </c>
      <c r="B6" s="10">
        <v>1</v>
      </c>
      <c r="C6" s="37"/>
      <c r="D6" s="38">
        <v>1</v>
      </c>
      <c r="E6" s="39"/>
      <c r="F6" s="37"/>
      <c r="G6" s="37"/>
      <c r="H6" s="37"/>
      <c r="I6" s="37"/>
      <c r="J6" s="37"/>
      <c r="K6" s="37"/>
      <c r="L6" s="37"/>
      <c r="M6" s="37"/>
      <c r="O6" s="5"/>
    </row>
    <row r="7" spans="1:15" x14ac:dyDescent="0.2">
      <c r="A7" s="9" t="s">
        <v>13</v>
      </c>
      <c r="B7" s="10">
        <v>2</v>
      </c>
      <c r="C7" s="37"/>
      <c r="D7" s="37"/>
      <c r="E7" s="40">
        <v>2</v>
      </c>
      <c r="F7" s="37"/>
      <c r="G7" s="37"/>
      <c r="H7" s="37"/>
      <c r="I7" s="37"/>
      <c r="J7" s="37"/>
      <c r="K7" s="37"/>
      <c r="L7" s="37"/>
      <c r="M7" s="37"/>
    </row>
    <row r="8" spans="1:15" x14ac:dyDescent="0.2">
      <c r="A8" s="9" t="s">
        <v>20</v>
      </c>
      <c r="B8" s="10">
        <v>2</v>
      </c>
      <c r="C8" s="37"/>
      <c r="D8" s="37"/>
      <c r="E8" s="40">
        <v>2</v>
      </c>
      <c r="F8" s="37"/>
      <c r="G8" s="37"/>
      <c r="H8" s="37"/>
      <c r="I8" s="37"/>
      <c r="J8" s="28"/>
      <c r="K8" s="28"/>
      <c r="L8" s="37"/>
      <c r="M8" s="37"/>
    </row>
    <row r="9" spans="1:15" x14ac:dyDescent="0.2">
      <c r="A9" s="9" t="s">
        <v>22</v>
      </c>
      <c r="B9" s="10">
        <v>5</v>
      </c>
      <c r="C9" s="37"/>
      <c r="D9" s="37"/>
      <c r="E9" s="37"/>
      <c r="F9" s="41">
        <v>5</v>
      </c>
      <c r="G9" s="37"/>
      <c r="H9" s="37"/>
      <c r="I9" s="37"/>
      <c r="J9" s="37"/>
      <c r="K9" s="37"/>
      <c r="L9" s="37"/>
      <c r="M9" s="37"/>
    </row>
    <row r="10" spans="1:15" x14ac:dyDescent="0.2">
      <c r="A10" s="9" t="s">
        <v>19</v>
      </c>
      <c r="B10" s="10">
        <v>2</v>
      </c>
      <c r="C10" s="28"/>
      <c r="D10" s="28"/>
      <c r="E10" s="28"/>
      <c r="F10" s="28"/>
      <c r="G10" s="48">
        <v>2</v>
      </c>
      <c r="H10" s="28"/>
      <c r="I10" s="28"/>
      <c r="J10" s="28"/>
      <c r="K10" s="28"/>
      <c r="L10" s="28"/>
      <c r="M10" s="28"/>
    </row>
    <row r="11" spans="1:15" x14ac:dyDescent="0.2">
      <c r="A11" s="9" t="s">
        <v>28</v>
      </c>
      <c r="B11" s="10">
        <v>2</v>
      </c>
      <c r="C11" s="28"/>
      <c r="D11" s="28"/>
      <c r="E11" s="28"/>
      <c r="F11" s="28"/>
      <c r="G11" s="28"/>
      <c r="H11" s="49">
        <v>2</v>
      </c>
      <c r="I11" s="28"/>
      <c r="J11" s="28"/>
      <c r="K11" s="28"/>
      <c r="L11" s="28"/>
      <c r="M11" s="28"/>
    </row>
    <row r="12" spans="1:15" x14ac:dyDescent="0.2">
      <c r="A12" s="9" t="s">
        <v>23</v>
      </c>
      <c r="B12" s="10">
        <v>15</v>
      </c>
      <c r="C12" s="28"/>
      <c r="D12" s="28"/>
      <c r="E12" s="28"/>
      <c r="F12" s="28"/>
      <c r="G12" s="28"/>
      <c r="H12" s="28"/>
      <c r="I12" s="42">
        <v>3</v>
      </c>
      <c r="J12" s="42">
        <v>5</v>
      </c>
      <c r="K12" s="42">
        <v>5</v>
      </c>
      <c r="L12" s="42">
        <v>2</v>
      </c>
      <c r="M12" s="28"/>
    </row>
    <row r="13" spans="1:15" x14ac:dyDescent="0.2">
      <c r="A13" s="9" t="s">
        <v>24</v>
      </c>
      <c r="B13" s="10">
        <v>6</v>
      </c>
      <c r="C13" s="28"/>
      <c r="D13" s="28"/>
      <c r="E13" s="28"/>
      <c r="F13" s="28"/>
      <c r="G13" s="28"/>
      <c r="H13" s="28"/>
      <c r="I13" s="42">
        <v>0</v>
      </c>
      <c r="J13" s="42">
        <v>2</v>
      </c>
      <c r="K13" s="42">
        <v>4</v>
      </c>
      <c r="L13" s="28"/>
      <c r="M13" s="28"/>
    </row>
    <row r="14" spans="1:15" x14ac:dyDescent="0.2">
      <c r="A14" s="9" t="s">
        <v>25</v>
      </c>
      <c r="B14" s="10">
        <v>2</v>
      </c>
      <c r="C14" s="28"/>
      <c r="D14" s="28"/>
      <c r="E14" s="28"/>
      <c r="F14" s="28"/>
      <c r="G14" s="28"/>
      <c r="H14" s="28"/>
      <c r="I14" s="28"/>
      <c r="J14" s="43">
        <v>2</v>
      </c>
      <c r="K14" s="28"/>
      <c r="L14" s="28"/>
      <c r="M14" s="28"/>
    </row>
    <row r="15" spans="1:15" x14ac:dyDescent="0.2">
      <c r="A15" s="9" t="s">
        <v>26</v>
      </c>
      <c r="B15" s="10">
        <v>1</v>
      </c>
      <c r="C15" s="28"/>
      <c r="D15" s="28"/>
      <c r="E15" s="28"/>
      <c r="F15" s="28"/>
      <c r="G15" s="28"/>
      <c r="H15" s="28"/>
      <c r="I15" s="28"/>
      <c r="J15" s="43">
        <v>1</v>
      </c>
      <c r="K15" s="28"/>
      <c r="L15" s="28"/>
      <c r="M15" s="28"/>
    </row>
    <row r="16" spans="1:15" x14ac:dyDescent="0.2">
      <c r="A16" s="9" t="s">
        <v>27</v>
      </c>
      <c r="B16" s="10">
        <v>3</v>
      </c>
      <c r="C16" s="28"/>
      <c r="D16" s="28"/>
      <c r="E16" s="28"/>
      <c r="F16" s="35"/>
      <c r="G16" s="28"/>
      <c r="H16" s="28"/>
      <c r="I16" s="28"/>
      <c r="J16" s="28"/>
      <c r="K16" s="44">
        <v>3</v>
      </c>
      <c r="L16" s="28"/>
      <c r="M16" s="28"/>
    </row>
    <row r="17" spans="1:13" x14ac:dyDescent="0.2">
      <c r="A17" s="9" t="s">
        <v>30</v>
      </c>
      <c r="B17" s="10">
        <v>4</v>
      </c>
      <c r="C17" s="28"/>
      <c r="D17" s="28"/>
      <c r="E17" s="28"/>
      <c r="F17" s="28"/>
      <c r="G17" s="28"/>
      <c r="H17" s="28"/>
      <c r="I17" s="28"/>
      <c r="J17" s="28"/>
      <c r="K17" s="28"/>
      <c r="L17" s="53">
        <v>4</v>
      </c>
      <c r="M17" s="28"/>
    </row>
    <row r="18" spans="1:13" x14ac:dyDescent="0.2">
      <c r="A18" s="9" t="s">
        <v>29</v>
      </c>
      <c r="B18" s="10">
        <v>3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45">
        <v>3</v>
      </c>
    </row>
    <row r="20" spans="1:13" x14ac:dyDescent="0.2">
      <c r="A20" s="46" t="s">
        <v>5</v>
      </c>
      <c r="B20" s="50">
        <f>SUM(B3:B18)</f>
        <v>52</v>
      </c>
      <c r="C20" s="50">
        <f t="shared" ref="C20:M20" si="0">IF(SUM(C3:C18)&gt;0,B20-SUM(C3:C18),"")</f>
        <v>50</v>
      </c>
      <c r="D20" s="50">
        <f t="shared" si="0"/>
        <v>47</v>
      </c>
      <c r="E20" s="50">
        <f t="shared" si="0"/>
        <v>43</v>
      </c>
      <c r="F20" s="50">
        <f t="shared" si="0"/>
        <v>38</v>
      </c>
      <c r="G20" s="50">
        <f t="shared" si="0"/>
        <v>36</v>
      </c>
      <c r="H20" s="50">
        <f t="shared" si="0"/>
        <v>34</v>
      </c>
      <c r="I20" s="50">
        <f t="shared" si="0"/>
        <v>31</v>
      </c>
      <c r="J20" s="50">
        <f t="shared" si="0"/>
        <v>21</v>
      </c>
      <c r="K20" s="50">
        <f t="shared" si="0"/>
        <v>9</v>
      </c>
      <c r="L20" s="50">
        <f t="shared" si="0"/>
        <v>3</v>
      </c>
      <c r="M20" s="50">
        <f t="shared" si="0"/>
        <v>0</v>
      </c>
    </row>
    <row r="21" spans="1:13" x14ac:dyDescent="0.2">
      <c r="A21" s="47" t="s">
        <v>6</v>
      </c>
      <c r="B21" s="51">
        <f>B20</f>
        <v>52</v>
      </c>
      <c r="C21" s="51">
        <f t="shared" ref="C21:M21" si="1">B21-($B$21/COUNTA($C$2:$M$2))</f>
        <v>47.272727272727273</v>
      </c>
      <c r="D21" s="51">
        <f t="shared" si="1"/>
        <v>42.545454545454547</v>
      </c>
      <c r="E21" s="51">
        <f t="shared" si="1"/>
        <v>37.81818181818182</v>
      </c>
      <c r="F21" s="51">
        <f t="shared" si="1"/>
        <v>33.090909090909093</v>
      </c>
      <c r="G21" s="51">
        <f t="shared" si="1"/>
        <v>28.363636363636367</v>
      </c>
      <c r="H21" s="51">
        <f t="shared" si="1"/>
        <v>23.63636363636364</v>
      </c>
      <c r="I21" s="51">
        <f t="shared" si="1"/>
        <v>18.909090909090914</v>
      </c>
      <c r="J21" s="51">
        <f t="shared" si="1"/>
        <v>14.181818181818187</v>
      </c>
      <c r="K21" s="51">
        <f t="shared" si="1"/>
        <v>9.4545454545454604</v>
      </c>
      <c r="L21" s="51">
        <f t="shared" si="1"/>
        <v>4.7272727272727328</v>
      </c>
      <c r="M21" s="51">
        <f t="shared" si="1"/>
        <v>0</v>
      </c>
    </row>
  </sheetData>
  <mergeCells count="3">
    <mergeCell ref="C1:M1"/>
    <mergeCell ref="A1:A2"/>
    <mergeCell ref="B1:B2"/>
  </mergeCells>
  <phoneticPr fontId="3" type="noConversion"/>
  <pageMargins left="0.511811024" right="0.511811024" top="0.78740157499999996" bottom="0.78740157499999996" header="0.31496062000000002" footer="0.31496062000000002"/>
  <pageSetup paperSize="9" orientation="portrait" horizontalDpi="0" verticalDpi="0" r:id="rId1"/>
  <headerFooter>
    <oddHeader>&amp;L&amp;"Aptos"&amp;10&amp;K000000 Uso Geral&amp;1#_x000D_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82DE1-3B53-4BAA-95AB-D1030F9FC269}">
  <dimension ref="A1:E18"/>
  <sheetViews>
    <sheetView tabSelected="1" zoomScale="130" zoomScaleNormal="130" workbookViewId="0">
      <selection activeCell="C26" sqref="C26"/>
    </sheetView>
  </sheetViews>
  <sheetFormatPr baseColWidth="10" defaultColWidth="8.83203125" defaultRowHeight="15" x14ac:dyDescent="0.2"/>
  <cols>
    <col min="1" max="1" width="40.33203125" bestFit="1" customWidth="1"/>
    <col min="2" max="5" width="20.83203125" customWidth="1"/>
  </cols>
  <sheetData>
    <row r="1" spans="1:5" s="2" customFormat="1" x14ac:dyDescent="0.2">
      <c r="A1" s="29" t="s">
        <v>38</v>
      </c>
      <c r="B1" s="30" t="s">
        <v>39</v>
      </c>
      <c r="C1" s="27" t="s">
        <v>40</v>
      </c>
      <c r="D1" s="31" t="s">
        <v>41</v>
      </c>
      <c r="E1" s="32" t="s">
        <v>7</v>
      </c>
    </row>
    <row r="2" spans="1:5" x14ac:dyDescent="0.2">
      <c r="A2" s="9" t="s">
        <v>14</v>
      </c>
      <c r="B2" s="28" t="s">
        <v>8</v>
      </c>
      <c r="C2" s="28"/>
      <c r="D2" s="28" t="s">
        <v>9</v>
      </c>
      <c r="E2" s="33"/>
    </row>
    <row r="3" spans="1:5" x14ac:dyDescent="0.2">
      <c r="A3" s="9" t="s">
        <v>15</v>
      </c>
      <c r="B3" s="28" t="s">
        <v>8</v>
      </c>
      <c r="C3" s="28"/>
      <c r="D3" s="28" t="s">
        <v>9</v>
      </c>
      <c r="E3" s="33"/>
    </row>
    <row r="4" spans="1:5" ht="14" customHeight="1" x14ac:dyDescent="0.2">
      <c r="A4" s="9" t="s">
        <v>12</v>
      </c>
      <c r="B4" s="28" t="s">
        <v>45</v>
      </c>
      <c r="C4" s="28"/>
      <c r="D4" s="28" t="s">
        <v>9</v>
      </c>
      <c r="E4" s="34"/>
    </row>
    <row r="5" spans="1:5" x14ac:dyDescent="0.2">
      <c r="A5" s="9" t="s">
        <v>21</v>
      </c>
      <c r="B5" s="28" t="s">
        <v>45</v>
      </c>
      <c r="C5" s="28"/>
      <c r="D5" s="28" t="s">
        <v>9</v>
      </c>
      <c r="E5" s="33"/>
    </row>
    <row r="6" spans="1:5" x14ac:dyDescent="0.2">
      <c r="A6" s="9" t="s">
        <v>13</v>
      </c>
      <c r="B6" s="28" t="s">
        <v>45</v>
      </c>
      <c r="C6" s="28"/>
      <c r="D6" s="28" t="s">
        <v>9</v>
      </c>
      <c r="E6" s="33"/>
    </row>
    <row r="7" spans="1:5" x14ac:dyDescent="0.2">
      <c r="A7" s="9" t="s">
        <v>20</v>
      </c>
      <c r="B7" s="28" t="s">
        <v>45</v>
      </c>
      <c r="C7" s="28"/>
      <c r="D7" s="28" t="s">
        <v>9</v>
      </c>
      <c r="E7" s="33"/>
    </row>
    <row r="8" spans="1:5" x14ac:dyDescent="0.2">
      <c r="A8" s="9" t="s">
        <v>22</v>
      </c>
      <c r="B8" s="28" t="s">
        <v>46</v>
      </c>
      <c r="C8" s="28"/>
      <c r="D8" s="28" t="s">
        <v>9</v>
      </c>
      <c r="E8" s="33"/>
    </row>
    <row r="9" spans="1:5" x14ac:dyDescent="0.2">
      <c r="A9" s="9" t="s">
        <v>19</v>
      </c>
      <c r="B9" s="28" t="s">
        <v>45</v>
      </c>
      <c r="C9" s="28"/>
      <c r="D9" s="28" t="s">
        <v>9</v>
      </c>
      <c r="E9" s="33"/>
    </row>
    <row r="10" spans="1:5" x14ac:dyDescent="0.2">
      <c r="A10" s="9" t="s">
        <v>28</v>
      </c>
      <c r="B10" s="28" t="s">
        <v>46</v>
      </c>
      <c r="C10" s="28"/>
      <c r="D10" s="28" t="s">
        <v>9</v>
      </c>
      <c r="E10" s="33"/>
    </row>
    <row r="11" spans="1:5" x14ac:dyDescent="0.2">
      <c r="A11" s="9" t="s">
        <v>23</v>
      </c>
      <c r="B11" s="28" t="s">
        <v>44</v>
      </c>
      <c r="C11" s="28"/>
      <c r="D11" s="28" t="s">
        <v>9</v>
      </c>
      <c r="E11" s="33" t="s">
        <v>50</v>
      </c>
    </row>
    <row r="12" spans="1:5" x14ac:dyDescent="0.2">
      <c r="A12" s="9" t="s">
        <v>24</v>
      </c>
      <c r="B12" s="28" t="s">
        <v>44</v>
      </c>
      <c r="C12" s="28"/>
      <c r="D12" s="28" t="s">
        <v>9</v>
      </c>
      <c r="E12" s="33" t="s">
        <v>51</v>
      </c>
    </row>
    <row r="13" spans="1:5" x14ac:dyDescent="0.2">
      <c r="A13" s="9" t="s">
        <v>25</v>
      </c>
      <c r="B13" s="28" t="s">
        <v>8</v>
      </c>
      <c r="C13" s="35"/>
      <c r="D13" s="28" t="s">
        <v>9</v>
      </c>
      <c r="E13" s="8"/>
    </row>
    <row r="14" spans="1:5" x14ac:dyDescent="0.2">
      <c r="A14" s="9" t="s">
        <v>26</v>
      </c>
      <c r="B14" s="28" t="s">
        <v>8</v>
      </c>
      <c r="C14" s="28" t="s">
        <v>9</v>
      </c>
      <c r="D14" s="28"/>
      <c r="E14" s="8"/>
    </row>
    <row r="15" spans="1:5" x14ac:dyDescent="0.2">
      <c r="A15" s="9" t="s">
        <v>27</v>
      </c>
      <c r="B15" s="28" t="s">
        <v>44</v>
      </c>
      <c r="C15" s="59" t="s">
        <v>9</v>
      </c>
      <c r="D15" s="28"/>
      <c r="E15" s="8"/>
    </row>
    <row r="16" spans="1:5" x14ac:dyDescent="0.2">
      <c r="A16" s="9" t="s">
        <v>30</v>
      </c>
      <c r="B16" s="28" t="s">
        <v>43</v>
      </c>
      <c r="C16" s="59" t="s">
        <v>9</v>
      </c>
      <c r="D16" s="28"/>
      <c r="E16" s="8"/>
    </row>
    <row r="17" spans="1:5" x14ac:dyDescent="0.2">
      <c r="A17" s="9" t="s">
        <v>29</v>
      </c>
      <c r="B17" s="28" t="s">
        <v>43</v>
      </c>
      <c r="C17" s="59" t="s">
        <v>9</v>
      </c>
      <c r="D17" s="28"/>
      <c r="E17" s="8"/>
    </row>
    <row r="18" spans="1:5" x14ac:dyDescent="0.2">
      <c r="B18" s="5"/>
      <c r="D18" s="5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headerFooter>
    <oddHeader>&amp;L&amp;"Aptos"&amp;10&amp;K000000 Uso Geral&amp;1#_x000D_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f2e8f5-27d7-4f61-9f93-1cf91307dac9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54B351E8A6E7649BF30E6B840EC0436" ma:contentTypeVersion="11" ma:contentTypeDescription="Crie um novo documento." ma:contentTypeScope="" ma:versionID="9bbc7b9183649a6d9716a89e120180b5">
  <xsd:schema xmlns:xsd="http://www.w3.org/2001/XMLSchema" xmlns:xs="http://www.w3.org/2001/XMLSchema" xmlns:p="http://schemas.microsoft.com/office/2006/metadata/properties" xmlns:ns2="eff2e8f5-27d7-4f61-9f93-1cf91307dac9" targetNamespace="http://schemas.microsoft.com/office/2006/metadata/properties" ma:root="true" ma:fieldsID="6b66f89bbecccfdd766b6574b40f12ec" ns2:_="">
    <xsd:import namespace="eff2e8f5-27d7-4f61-9f93-1cf91307da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f2e8f5-27d7-4f61-9f93-1cf91307da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8bee0d7d-e0dd-4976-8ad4-cb0783d2a53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1A829F1-35C3-4A75-8FD7-FF6D25F10C8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FA2EB68-5829-4389-86C8-A3A6F8F290CB}">
  <ds:schemaRefs>
    <ds:schemaRef ds:uri="http://schemas.microsoft.com/office/2006/metadata/properties"/>
    <ds:schemaRef ds:uri="http://schemas.microsoft.com/office/infopath/2007/PartnerControls"/>
    <ds:schemaRef ds:uri="eff2e8f5-27d7-4f61-9f93-1cf91307dac9"/>
  </ds:schemaRefs>
</ds:datastoreItem>
</file>

<file path=customXml/itemProps3.xml><?xml version="1.0" encoding="utf-8"?>
<ds:datastoreItem xmlns:ds="http://schemas.openxmlformats.org/officeDocument/2006/customXml" ds:itemID="{128F90C2-F667-4057-B969-511C7587B6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f2e8f5-27d7-4f61-9f93-1cf91307dac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5d722c75-9049-497d-aec7-8c09c4025ead}" enabled="1" method="Standard" siteId="{7da4edd9-50bb-48f7-81af-0ca98f2c9594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Integrantes</vt:lpstr>
      <vt:lpstr>Cronograma</vt:lpstr>
      <vt:lpstr>Burndown</vt:lpstr>
      <vt:lpstr>Fluxo de trabalho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Sérgio Tavares</dc:creator>
  <cp:keywords/>
  <dc:description/>
  <cp:lastModifiedBy>Marcelo Alfonso de Souza</cp:lastModifiedBy>
  <cp:revision/>
  <dcterms:created xsi:type="dcterms:W3CDTF">2021-05-12T11:12:09Z</dcterms:created>
  <dcterms:modified xsi:type="dcterms:W3CDTF">2025-11-23T20:23:25Z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0x010100754B351E8A6E7649BF30E6B840EC0436</vt:lpwstr>
  </property>
  <property fmtid="{D5CDD505-2E9C-101B-9397-08002B2CF9AE}" pid="3" name="Order">
    <vt:r8>2200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ComplianceAssetId">
    <vt:lpwstr/>
  </property>
  <property fmtid="{D5CDD505-2E9C-101B-9397-08002B2CF9AE}" pid="7" name="TemplateUrl">
    <vt:lpwstr/>
  </property>
  <property fmtid="{D5CDD505-2E9C-101B-9397-08002B2CF9AE}" pid="8" name="_ExtendedDescription">
    <vt:lpwstr/>
  </property>
  <property fmtid="{D5CDD505-2E9C-101B-9397-08002B2CF9AE}" pid="9" name="TriggerFlowInfo">
    <vt:lpwstr/>
  </property>
  <property fmtid="{D5CDD505-2E9C-101B-9397-08002B2CF9AE}" pid="10" name="MediaServiceImageTags">
    <vt:lpwstr/>
  </property>
</Properties>
</file>